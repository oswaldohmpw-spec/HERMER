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4EB0C8F23F2754F/Escritorio/felfacturas/"/>
    </mc:Choice>
  </mc:AlternateContent>
  <xr:revisionPtr revIDLastSave="0" documentId="8_{ED97B7B1-FC1B-4E50-8AA7-CC3E40BE0BF0}" xr6:coauthVersionLast="47" xr6:coauthVersionMax="47" xr10:uidLastSave="{00000000-0000-0000-0000-000000000000}"/>
  <bookViews>
    <workbookView xWindow="-108" yWindow="-108" windowWidth="23256" windowHeight="12456" firstSheet="1" activeTab="1" xr2:uid="{FFE2CD37-B7E0-4100-9721-4AEEF87D7EA3}"/>
  </bookViews>
  <sheets>
    <sheet name="CARTAS PORTE" sheetId="1" r:id="rId1"/>
    <sheet name="DATOS OPERADORES" sheetId="2" r:id="rId2"/>
    <sheet name="DESTIN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" l="1"/>
  <c r="B14" i="2"/>
  <c r="B16" i="2" s="1"/>
  <c r="C4" i="1"/>
  <c r="C5" i="1"/>
  <c r="C6" i="1"/>
  <c r="C3" i="1"/>
</calcChain>
</file>

<file path=xl/sharedStrings.xml><?xml version="1.0" encoding="utf-8"?>
<sst xmlns="http://schemas.openxmlformats.org/spreadsheetml/2006/main" count="87" uniqueCount="79">
  <si>
    <t xml:space="preserve">N° CARTA PORTE </t>
  </si>
  <si>
    <t>FECHA</t>
  </si>
  <si>
    <t>ORIGEN</t>
  </si>
  <si>
    <t>DESTINO</t>
  </si>
  <si>
    <t>TOTAL FACRURA</t>
  </si>
  <si>
    <t>OPERADOR</t>
  </si>
  <si>
    <t>ORIZABA</t>
  </si>
  <si>
    <t>BODEGA MAIZ IZTAPALAPA</t>
  </si>
  <si>
    <t>ALEJANREO MERINO</t>
  </si>
  <si>
    <t>MAURICIO MERINO</t>
  </si>
  <si>
    <t>BODEGA TRILLAS</t>
  </si>
  <si>
    <t>FEDERICO VAZQUEZ</t>
  </si>
  <si>
    <t>EDUARDO HONORATO</t>
  </si>
  <si>
    <t>RFC</t>
  </si>
  <si>
    <t>N° LICENCIA</t>
  </si>
  <si>
    <t>PLACA Y MODELO</t>
  </si>
  <si>
    <t>REMOLQUE</t>
  </si>
  <si>
    <t xml:space="preserve">PESO </t>
  </si>
  <si>
    <t>ASEGURADORA Y POLIZA</t>
  </si>
  <si>
    <t>PERMISO SCT</t>
  </si>
  <si>
    <t>RODRIGO VAZQUEZ SOSA</t>
  </si>
  <si>
    <t>VASR950312EB2</t>
  </si>
  <si>
    <t>LFD00066336</t>
  </si>
  <si>
    <t>29AA4A - 2001</t>
  </si>
  <si>
    <t>002WV2</t>
  </si>
  <si>
    <t>CHUBB - CY44001979</t>
  </si>
  <si>
    <t>2141OERI13032015021001000</t>
  </si>
  <si>
    <t>GILDARDO CASTILLO GONSALES</t>
  </si>
  <si>
    <t>VAPF010303HE0</t>
  </si>
  <si>
    <t>VER0401915</t>
  </si>
  <si>
    <t>86BA2Y - 2013</t>
  </si>
  <si>
    <t>56VA7Z</t>
  </si>
  <si>
    <t>QUALITAS S.A. DE C.V. - 1410082047</t>
  </si>
  <si>
    <t>2141CABY14062019021001008</t>
  </si>
  <si>
    <t>FEDERICO VAZQUEZ PANTOJA</t>
  </si>
  <si>
    <t>LFD00014648</t>
  </si>
  <si>
    <t>87BM2R - 2017</t>
  </si>
  <si>
    <t>01TY7W</t>
  </si>
  <si>
    <t>BBVA - 746A5308AU</t>
  </si>
  <si>
    <t>0919VAPF07052026021001000</t>
  </si>
  <si>
    <t xml:space="preserve">ALEJANDRO MERINO HUERTA </t>
  </si>
  <si>
    <t>MEHA900819576</t>
  </si>
  <si>
    <t>VER0404259</t>
  </si>
  <si>
    <t>10BC9E - 2009</t>
  </si>
  <si>
    <t>60UZ8H</t>
  </si>
  <si>
    <t>QUALITAS COMPAÑIA DE SEGUROS S.A. DE C.V - 1200046994</t>
  </si>
  <si>
    <t>0618MEHL30102023021001000</t>
  </si>
  <si>
    <t>MAURICIO MERINO HUERTA</t>
  </si>
  <si>
    <t>LFD01071347</t>
  </si>
  <si>
    <t>73BK3N - 2005</t>
  </si>
  <si>
    <t>39UV4D</t>
  </si>
  <si>
    <t>BBVA - 746A5302VU</t>
  </si>
  <si>
    <t>2141CALA22082025021001000</t>
  </si>
  <si>
    <t>MUNDO MERINO HUERTA</t>
  </si>
  <si>
    <t>EDUARDO HONORATO ROMAN</t>
  </si>
  <si>
    <t>LFD01113947</t>
  </si>
  <si>
    <t>45BL1T - 2012</t>
  </si>
  <si>
    <t>81VC4N</t>
  </si>
  <si>
    <t>CHUBB - CY44000118</t>
  </si>
  <si>
    <t>2141HORE06032026021001000</t>
  </si>
  <si>
    <t>ANGEL MANUEL ZOPIYACTLE ATLAHUA</t>
  </si>
  <si>
    <t>AAZA030321RK9</t>
  </si>
  <si>
    <t>LFD01024673</t>
  </si>
  <si>
    <t>38BL6W - 2013</t>
  </si>
  <si>
    <t>95VA5Z</t>
  </si>
  <si>
    <t>BBVA - 766B0502N5</t>
  </si>
  <si>
    <t>1431BAEA26112025021001000</t>
  </si>
  <si>
    <t>subtotal</t>
  </si>
  <si>
    <t>iva 16%</t>
  </si>
  <si>
    <t>reten 4%</t>
  </si>
  <si>
    <t>total</t>
  </si>
  <si>
    <t xml:space="preserve">javier.cardenas@biopappel.com </t>
  </si>
  <si>
    <t>SALEN DE ORIZABA</t>
  </si>
  <si>
    <t>embarquesmpt@biopappel.com</t>
  </si>
  <si>
    <t>remisionesti2@biopappel.com</t>
  </si>
  <si>
    <t xml:space="preserve">embarquestlt@biopappel.com </t>
  </si>
  <si>
    <t>SALE DE TIZAYUCA 1</t>
  </si>
  <si>
    <t>SALE DE TIZAYUCA 2</t>
  </si>
  <si>
    <t>SALE DE TULTITLAN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</si>
</sst>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112395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49BD2D9-7C8A-1925-12CE-BF84C5655CCB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112395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0324144-713D-482F-870D-8C790560D9D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112395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C9B6EBA-E4BE-7F59-B5AD-E7312DAC8F44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112395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5AE835F-36C4-440D-222E-E9407935045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misionesti2@biopappel.com" TargetMode="External"/><Relationship Id="rId2" Type="http://schemas.openxmlformats.org/officeDocument/2006/relationships/hyperlink" Target="mailto:embarquesmpt@biopappel.com" TargetMode="External"/><Relationship Id="rId1" Type="http://schemas.openxmlformats.org/officeDocument/2006/relationships/hyperlink" Target="mailto:javier.cardenas@biopappel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embarquestlt@biopapp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135D-A4FE-48DE-A418-CD87FD3AE65C}">
  <dimension ref="A1:X105"/>
  <sheetViews>
    <sheetView workbookViewId="0">
      <selection activeCell="G7" sqref="G7"/>
    </sheetView>
  </sheetViews>
  <sheetFormatPr baseColWidth="10" defaultColWidth="11.44140625" defaultRowHeight="14.4" x14ac:dyDescent="0.3"/>
  <cols>
    <col min="2" max="2" width="14.88671875" bestFit="1" customWidth="1"/>
    <col min="4" max="4" width="13.6640625" customWidth="1"/>
    <col min="5" max="5" width="25.6640625" customWidth="1"/>
    <col min="6" max="6" width="15.77734375" customWidth="1"/>
    <col min="7" max="7" width="25.3320312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3">
        <v>435</v>
      </c>
      <c r="C3" s="4">
        <f>DATE(2026,8,17)</f>
        <v>46251</v>
      </c>
      <c r="D3" s="3" t="s">
        <v>6</v>
      </c>
      <c r="E3" s="3" t="s">
        <v>7</v>
      </c>
      <c r="F3" s="3">
        <v>18844.61</v>
      </c>
      <c r="G3" s="3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3">
        <v>436</v>
      </c>
      <c r="C4" s="4">
        <f t="shared" ref="C4:C6" si="0">DATE(2026,8,17)</f>
        <v>46251</v>
      </c>
      <c r="D4" s="3" t="s">
        <v>6</v>
      </c>
      <c r="E4" s="3" t="s">
        <v>7</v>
      </c>
      <c r="F4" s="3">
        <v>18844.61</v>
      </c>
      <c r="G4" s="3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3">
        <v>437</v>
      </c>
      <c r="C5" s="4">
        <f t="shared" si="0"/>
        <v>46251</v>
      </c>
      <c r="D5" s="3" t="s">
        <v>6</v>
      </c>
      <c r="E5" s="3" t="s">
        <v>10</v>
      </c>
      <c r="F5" s="3">
        <v>18844.61</v>
      </c>
      <c r="G5" s="3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3">
        <v>438</v>
      </c>
      <c r="C6" s="4">
        <f t="shared" si="0"/>
        <v>46251</v>
      </c>
      <c r="D6" s="3" t="s">
        <v>6</v>
      </c>
      <c r="E6" s="3" t="s">
        <v>10</v>
      </c>
      <c r="F6" s="3">
        <v>18844.61</v>
      </c>
      <c r="G6" s="3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C9F8-4C3B-47D5-8A98-10C89F289BCB}">
  <dimension ref="A2:H21"/>
  <sheetViews>
    <sheetView tabSelected="1" zoomScale="102" zoomScaleNormal="102" workbookViewId="0">
      <selection activeCell="A5" sqref="A5"/>
    </sheetView>
  </sheetViews>
  <sheetFormatPr baseColWidth="10" defaultColWidth="11.5546875" defaultRowHeight="15" customHeight="1" x14ac:dyDescent="0.3"/>
  <cols>
    <col min="1" max="1" width="35.33203125" style="1" bestFit="1" customWidth="1"/>
    <col min="2" max="2" width="19.6640625" style="1" customWidth="1"/>
    <col min="3" max="3" width="14.6640625" style="1" customWidth="1"/>
    <col min="4" max="4" width="18.77734375" style="1" customWidth="1"/>
    <col min="5" max="6" width="16.6640625" style="1" customWidth="1"/>
    <col min="7" max="7" width="53.88671875" style="1" bestFit="1" customWidth="1"/>
    <col min="8" max="8" width="40.21875" style="1" customWidth="1"/>
    <col min="9" max="9" width="28.6640625" style="1" bestFit="1" customWidth="1"/>
    <col min="10" max="16384" width="11.5546875" style="1"/>
  </cols>
  <sheetData>
    <row r="2" spans="1:8" ht="15" customHeight="1" x14ac:dyDescent="0.3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</row>
    <row r="3" spans="1:8" ht="15" customHeight="1" x14ac:dyDescent="0.3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/>
      <c r="G3" s="3" t="s">
        <v>25</v>
      </c>
      <c r="H3" s="3" t="s">
        <v>26</v>
      </c>
    </row>
    <row r="4" spans="1:8" ht="15" customHeight="1" x14ac:dyDescent="0.3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>
        <v>7.8</v>
      </c>
      <c r="G4" s="3" t="s">
        <v>32</v>
      </c>
      <c r="H4" s="3" t="s">
        <v>33</v>
      </c>
    </row>
    <row r="5" spans="1:8" ht="15" customHeight="1" x14ac:dyDescent="0.3">
      <c r="A5" s="2" t="s">
        <v>34</v>
      </c>
      <c r="B5" s="3" t="s">
        <v>28</v>
      </c>
      <c r="C5" s="3" t="s">
        <v>35</v>
      </c>
      <c r="D5" s="3" t="s">
        <v>36</v>
      </c>
      <c r="E5" s="3" t="s">
        <v>37</v>
      </c>
      <c r="F5" s="3">
        <v>7.8</v>
      </c>
      <c r="G5" s="3" t="s">
        <v>38</v>
      </c>
      <c r="H5" s="3" t="s">
        <v>39</v>
      </c>
    </row>
    <row r="6" spans="1:8" ht="15" customHeight="1" x14ac:dyDescent="0.3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>
        <v>8</v>
      </c>
      <c r="G6" s="3" t="s">
        <v>45</v>
      </c>
      <c r="H6" s="3" t="s">
        <v>46</v>
      </c>
    </row>
    <row r="7" spans="1:8" ht="15" customHeight="1" x14ac:dyDescent="0.3">
      <c r="A7" s="2" t="s">
        <v>47</v>
      </c>
      <c r="B7" s="5" t="s">
        <v>21</v>
      </c>
      <c r="C7" s="3" t="s">
        <v>48</v>
      </c>
      <c r="D7" s="3" t="s">
        <v>49</v>
      </c>
      <c r="E7" s="3" t="s">
        <v>50</v>
      </c>
      <c r="F7" s="3"/>
      <c r="G7" s="3" t="s">
        <v>51</v>
      </c>
      <c r="H7" s="3" t="s">
        <v>52</v>
      </c>
    </row>
    <row r="8" spans="1:8" ht="15" customHeight="1" x14ac:dyDescent="0.3">
      <c r="A8" s="2" t="s">
        <v>53</v>
      </c>
      <c r="B8" s="3"/>
      <c r="C8" s="3"/>
      <c r="D8" s="3"/>
      <c r="E8" s="3"/>
      <c r="F8" s="3"/>
      <c r="G8" s="3"/>
      <c r="H8" s="3"/>
    </row>
    <row r="9" spans="1:8" ht="15" customHeight="1" x14ac:dyDescent="0.3">
      <c r="A9" s="8" t="s">
        <v>54</v>
      </c>
      <c r="B9" s="9" t="s">
        <v>28</v>
      </c>
      <c r="C9" s="9" t="s">
        <v>55</v>
      </c>
      <c r="D9" s="9" t="s">
        <v>56</v>
      </c>
      <c r="E9" s="9" t="s">
        <v>57</v>
      </c>
      <c r="F9" s="9"/>
      <c r="G9" s="9" t="s">
        <v>58</v>
      </c>
      <c r="H9" s="9" t="s">
        <v>59</v>
      </c>
    </row>
    <row r="10" spans="1:8" ht="15" customHeight="1" x14ac:dyDescent="0.3">
      <c r="A10" s="6" t="s">
        <v>60</v>
      </c>
      <c r="B10" s="7" t="s">
        <v>61</v>
      </c>
      <c r="C10" s="7" t="s">
        <v>62</v>
      </c>
      <c r="D10" s="7" t="s">
        <v>63</v>
      </c>
      <c r="E10" s="7" t="s">
        <v>64</v>
      </c>
      <c r="F10" s="7">
        <v>9.5</v>
      </c>
      <c r="G10" s="7" t="s">
        <v>65</v>
      </c>
      <c r="H10" s="7" t="s">
        <v>66</v>
      </c>
    </row>
    <row r="13" spans="1:8" ht="15" customHeight="1" x14ac:dyDescent="0.3">
      <c r="A13" s="10" t="s">
        <v>67</v>
      </c>
      <c r="B13" s="10">
        <v>14500</v>
      </c>
    </row>
    <row r="14" spans="1:8" ht="15" customHeight="1" x14ac:dyDescent="0.3">
      <c r="A14" s="11" t="s">
        <v>68</v>
      </c>
      <c r="B14" s="10">
        <f>B13*16%</f>
        <v>2320</v>
      </c>
    </row>
    <row r="15" spans="1:8" ht="15" customHeight="1" x14ac:dyDescent="0.3">
      <c r="A15" s="10" t="s">
        <v>69</v>
      </c>
      <c r="B15" s="10">
        <f>B13*4%</f>
        <v>580</v>
      </c>
    </row>
    <row r="16" spans="1:8" ht="15" customHeight="1" x14ac:dyDescent="0.3">
      <c r="A16" s="12" t="s">
        <v>70</v>
      </c>
      <c r="B16" s="13">
        <f>(B13+B14)-B15</f>
        <v>16240</v>
      </c>
    </row>
    <row r="18" spans="1:2" ht="15" customHeight="1" x14ac:dyDescent="0.3">
      <c r="A18" s="14" t="s">
        <v>71</v>
      </c>
      <c r="B18" s="1" t="s">
        <v>72</v>
      </c>
    </row>
    <row r="19" spans="1:2" ht="15" customHeight="1" x14ac:dyDescent="0.3">
      <c r="A19" s="14" t="s">
        <v>73</v>
      </c>
      <c r="B19" s="1" t="s">
        <v>76</v>
      </c>
    </row>
    <row r="20" spans="1:2" ht="15" customHeight="1" x14ac:dyDescent="0.3">
      <c r="A20" s="14" t="s">
        <v>74</v>
      </c>
      <c r="B20" s="1" t="s">
        <v>77</v>
      </c>
    </row>
    <row r="21" spans="1:2" ht="15" customHeight="1" x14ac:dyDescent="0.3">
      <c r="A21" s="14" t="s">
        <v>75</v>
      </c>
      <c r="B21" s="1" t="s">
        <v>78</v>
      </c>
    </row>
  </sheetData>
  <hyperlinks>
    <hyperlink ref="A18" r:id="rId1" xr:uid="{26DE3E44-9522-4B0F-B192-564D7326B141}"/>
    <hyperlink ref="A19" r:id="rId2" xr:uid="{516CC29D-D70E-4659-96F2-9E71E4E73A3A}"/>
    <hyperlink ref="A20" r:id="rId3" xr:uid="{27C40107-05F3-446D-B2A1-60857FB08107}"/>
    <hyperlink ref="A21" r:id="rId4" xr:uid="{74BBFC7C-1D04-4E45-A5EF-E57469C8185D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6E4D-0AFB-4721-BBF2-97F5F3FAFFAD}">
  <dimension ref="A1"/>
  <sheetViews>
    <sheetView workbookViewId="0">
      <selection activeCell="I12" sqref="I12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CARTAS PORTE</vt:lpstr>
      <vt:lpstr>DATOS OPERADORES</vt:lpstr>
      <vt:lpstr>DESTINOS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Oswaldo Hernandez Merino</dc:creator>
  <cp:keywords/>
  <dc:description/>
  <cp:lastModifiedBy>Oswaldo Hernandez Merino</cp:lastModifiedBy>
  <cp:revision/>
  <dcterms:created xsi:type="dcterms:W3CDTF">2026-08-19T03:32:36Z</dcterms:created>
  <dcterms:modified xsi:type="dcterms:W3CDTF">2026-08-29T06:00:21Z</dcterms:modified>
  <cp:category/>
  <cp:contentStatus/>
</cp:coreProperties>
</file>